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deepanshu161135_exlservice_com/Documents/2. MIDAS/12. Wireframe/"/>
    </mc:Choice>
  </mc:AlternateContent>
  <xr:revisionPtr revIDLastSave="224" documentId="8_{8FF38A92-F212-4E6A-81EF-223FDA63697E}" xr6:coauthVersionLast="47" xr6:coauthVersionMax="47" xr10:uidLastSave="{4A3ED865-1A7E-46A4-9568-716FABC27E02}"/>
  <bookViews>
    <workbookView xWindow="-110" yWindow="-110" windowWidth="19420" windowHeight="10300" activeTab="1" xr2:uid="{1C03C915-ABA8-4FE5-883D-A46F3913E406}"/>
  </bookViews>
  <sheets>
    <sheet name="1. Model Family" sheetId="1" r:id="rId1"/>
    <sheet name="2. KPI Pack" sheetId="2" r:id="rId2"/>
    <sheet name="Sample thresholds" sheetId="8" r:id="rId3"/>
    <sheet name="2. Model Inventory" sheetId="4" state="hidden" r:id="rId4"/>
    <sheet name="4. Trigger Hit Report" sheetId="3" state="hidden" r:id="rId5"/>
    <sheet name="5. Model Governance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8" l="1"/>
  <c r="F40" i="8" s="1"/>
  <c r="E37" i="8"/>
  <c r="F37" i="8" s="1"/>
  <c r="E36" i="8"/>
  <c r="F36" i="8" s="1"/>
  <c r="E35" i="8"/>
  <c r="F35" i="8" s="1"/>
  <c r="E34" i="8"/>
  <c r="F34" i="8" s="1"/>
  <c r="E33" i="8"/>
  <c r="F33" i="8" s="1"/>
  <c r="E32" i="8"/>
  <c r="F32" i="8" s="1"/>
  <c r="E31" i="8"/>
  <c r="F31" i="8" s="1"/>
  <c r="E30" i="8"/>
  <c r="F30" i="8" s="1"/>
  <c r="E29" i="8"/>
  <c r="F29" i="8" s="1"/>
  <c r="E28" i="8"/>
  <c r="F28" i="8" s="1"/>
  <c r="F27" i="8"/>
  <c r="E27" i="8"/>
  <c r="E26" i="8"/>
  <c r="F26" i="8" s="1"/>
  <c r="E25" i="8"/>
  <c r="F25" i="8" s="1"/>
  <c r="E24" i="8"/>
  <c r="F24" i="8" s="1"/>
  <c r="E23" i="8"/>
  <c r="F23" i="8" s="1"/>
  <c r="E22" i="8"/>
  <c r="F22" i="8" s="1"/>
  <c r="E21" i="8"/>
  <c r="F21" i="8" s="1"/>
  <c r="F20" i="8"/>
  <c r="E20" i="8"/>
  <c r="E19" i="8"/>
  <c r="F19" i="8" s="1"/>
  <c r="F18" i="8"/>
  <c r="E18" i="8"/>
  <c r="E17" i="8"/>
  <c r="F17" i="8" s="1"/>
  <c r="E16" i="8"/>
  <c r="F16" i="8" s="1"/>
  <c r="E15" i="8"/>
  <c r="F15" i="8" s="1"/>
  <c r="E14" i="8"/>
  <c r="F14" i="8" s="1"/>
  <c r="F13" i="8"/>
  <c r="E13" i="8"/>
  <c r="E12" i="8"/>
  <c r="F12" i="8" s="1"/>
  <c r="E11" i="8"/>
  <c r="F11" i="8" s="1"/>
  <c r="E8" i="8"/>
  <c r="F8" i="8" s="1"/>
  <c r="F7" i="8"/>
  <c r="E7" i="8"/>
  <c r="E6" i="8"/>
  <c r="F6" i="8" s="1"/>
  <c r="F5" i="8"/>
  <c r="E5" i="8"/>
  <c r="E4" i="8"/>
  <c r="F4" i="8" s="1"/>
</calcChain>
</file>

<file path=xl/sharedStrings.xml><?xml version="1.0" encoding="utf-8"?>
<sst xmlns="http://schemas.openxmlformats.org/spreadsheetml/2006/main" count="575" uniqueCount="111">
  <si>
    <t>Domain</t>
  </si>
  <si>
    <t>Credit Risk</t>
  </si>
  <si>
    <t>Classification</t>
  </si>
  <si>
    <t>Data Type</t>
  </si>
  <si>
    <t>Model Type</t>
  </si>
  <si>
    <t>Cross sectional</t>
  </si>
  <si>
    <t>Panel</t>
  </si>
  <si>
    <t>Time-series</t>
  </si>
  <si>
    <t>Account level</t>
  </si>
  <si>
    <t>Summarized level</t>
  </si>
  <si>
    <t>Continuous</t>
  </si>
  <si>
    <t>Data Structue</t>
  </si>
  <si>
    <t>Metric Name</t>
  </si>
  <si>
    <t>Delta
Metrics</t>
  </si>
  <si>
    <t>KS</t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</si>
  <si>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 </t>
    </r>
  </si>
  <si>
    <t>AUC</t>
  </si>
  <si>
    <t xml:space="preserve">Gini Coefficient </t>
  </si>
  <si>
    <t>-</t>
  </si>
  <si>
    <t xml:space="preserve">Jensen Shanon Divergence </t>
  </si>
  <si>
    <t>ROB (Rank Order Break)</t>
  </si>
  <si>
    <t>Log Loss</t>
  </si>
  <si>
    <t>Brier Score</t>
  </si>
  <si>
    <t>ECE (Expected Calibration )</t>
  </si>
  <si>
    <t>Pietra Index</t>
  </si>
  <si>
    <t>AUPRC(Area Under the Precision–Recall Curve)</t>
  </si>
  <si>
    <t>Type1 Error</t>
  </si>
  <si>
    <t>Type 2 Error</t>
  </si>
  <si>
    <t>Accuracy</t>
  </si>
  <si>
    <t xml:space="preserve">Presicion </t>
  </si>
  <si>
    <t>Recall</t>
  </si>
  <si>
    <t>F1 Score</t>
  </si>
  <si>
    <t>RMSE(Root Mean Squared Error)</t>
  </si>
  <si>
    <t>Marketing</t>
  </si>
  <si>
    <t>KPI Type</t>
  </si>
  <si>
    <t>Stability</t>
  </si>
  <si>
    <t>Higher or lower is better</t>
  </si>
  <si>
    <t>Lower</t>
  </si>
  <si>
    <t>Higher</t>
  </si>
  <si>
    <t>Thresholds for Absolute Metric Value: 
Warning Trigger</t>
  </si>
  <si>
    <t>Thresholds for Delta Metric Value: Warning Trigger</t>
  </si>
  <si>
    <t>Performance</t>
  </si>
  <si>
    <t>Fraud</t>
  </si>
  <si>
    <t>Calibration</t>
  </si>
  <si>
    <t>CSI - Feature</t>
  </si>
  <si>
    <t>IV - Feature</t>
  </si>
  <si>
    <t>Feature Importance - Feature</t>
  </si>
  <si>
    <t>Variable Level ROB - Feature</t>
  </si>
  <si>
    <t>Jensen Shanon Divergence - Feature</t>
  </si>
  <si>
    <t>SHAP - Feature</t>
  </si>
  <si>
    <t>Explainability</t>
  </si>
  <si>
    <t>Model Family : Credit Risk_Classification_Account level_Cross sectional</t>
  </si>
  <si>
    <t>Model Family : Credit Risk_Classification_Summarized level_Cross sectional</t>
  </si>
  <si>
    <t>Model Family : Credit Risk_Continuous_Account level_Cross sectional</t>
  </si>
  <si>
    <t>Model Family : Credit Risk_Classification_Account level_Panel</t>
  </si>
  <si>
    <t>Model Family : Credit Risk_Continuous_Account level_Panel</t>
  </si>
  <si>
    <t>Model Family : Credit Risk_Classification_Account level_Time-series</t>
  </si>
  <si>
    <t>Model Family : Credit Risk_Continuous_Account level_Time-series</t>
  </si>
  <si>
    <t>Model Family : Marketing_Classification_Account level_Cross sectional</t>
  </si>
  <si>
    <t>Model Family : Fraud_Classification_Account level_Cross sectional</t>
  </si>
  <si>
    <t>Sub KPI Type</t>
  </si>
  <si>
    <t>Regression</t>
  </si>
  <si>
    <t>Classification Performance</t>
  </si>
  <si>
    <t>Discrimination</t>
  </si>
  <si>
    <t>PDO (Points to Duble Odds)</t>
  </si>
  <si>
    <t>PSI (Population Stability Index)</t>
  </si>
  <si>
    <t>Mean Absolute Error (MAE)</t>
  </si>
  <si>
    <t>Mean Squared Error (MSE)</t>
  </si>
  <si>
    <t>Adjusted R²</t>
  </si>
  <si>
    <t>R²</t>
  </si>
  <si>
    <t>Data Drift</t>
  </si>
  <si>
    <t>Concept Drift</t>
  </si>
  <si>
    <t>Performance Drift</t>
  </si>
  <si>
    <t>HRL (Hit Rate Lift</t>
  </si>
  <si>
    <t>Friction Rate</t>
  </si>
  <si>
    <t>Thresholds for Absolute Metric Value: Breach Trigger</t>
  </si>
  <si>
    <t>Thresholds for Delta Metric Value: Breach Trigger</t>
  </si>
  <si>
    <t>Inner threshold</t>
  </si>
  <si>
    <t>Outer threshold</t>
  </si>
  <si>
    <t>Trigger Type</t>
  </si>
  <si>
    <t>Direction</t>
  </si>
  <si>
    <t>Explanation</t>
  </si>
  <si>
    <t>Absolute</t>
  </si>
  <si>
    <t>JSD (Jensen-Shannon Divergence)</t>
  </si>
  <si>
    <t>ECE (Expected Calibration Error)</t>
  </si>
  <si>
    <t>% ECE Change</t>
  </si>
  <si>
    <t>Delta</t>
  </si>
  <si>
    <t>CSI (Characteristics Stability Index)</t>
  </si>
  <si>
    <t>%KS Change</t>
  </si>
  <si>
    <t>% AUC Change</t>
  </si>
  <si>
    <t>Gini</t>
  </si>
  <si>
    <t>% Gini Change</t>
  </si>
  <si>
    <t>% Pietra Index Change</t>
  </si>
  <si>
    <t>AUPRC (Area Under Precision-Recall Curve)</t>
  </si>
  <si>
    <t>% AUPRC Change</t>
  </si>
  <si>
    <t>Log-Loss</t>
  </si>
  <si>
    <t>% Log-Loss Change</t>
  </si>
  <si>
    <t>% Brier Score Change</t>
  </si>
  <si>
    <t>% Accuracy Change</t>
  </si>
  <si>
    <t>Precision</t>
  </si>
  <si>
    <t>% Precision Change</t>
  </si>
  <si>
    <t>% Recall Change</t>
  </si>
  <si>
    <t>Type-1 Error</t>
  </si>
  <si>
    <t>% Type-1 Error Change</t>
  </si>
  <si>
    <t>Type-2 Error</t>
  </si>
  <si>
    <t>% Type-2 Error Change</t>
  </si>
  <si>
    <t>% F1 Score Change</t>
  </si>
  <si>
    <t>%IV Change</t>
  </si>
  <si>
    <t>Sample - Model Family : Credit Risk_Classification_Account level_Cross sectional</t>
  </si>
  <si>
    <t>Metric</t>
  </si>
  <si>
    <r>
      <t>ü</t>
    </r>
    <r>
      <rPr>
        <sz val="7"/>
        <rFont val="Times New Roman"/>
        <family val="1"/>
      </rPr>
      <t xml:space="preserve">  </t>
    </r>
    <r>
      <rPr>
        <sz val="12"/>
        <rFont val="Aptos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</si>
</sst>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2"/>
      <name val="Wingdings"/>
      <charset val="2"/>
    </font>
    <font>
      <sz val="7"/>
      <name val="Times New Roman"/>
      <family val="1"/>
    </font>
    <font>
      <sz val="12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3" borderId="0" xfId="0" applyFill="1"/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D846-0FD8-445E-AFF0-BC4878F8E0E0}">
  <dimension ref="A1:D10"/>
  <sheetViews>
    <sheetView showGridLines="0" workbookViewId="0"/>
  </sheetViews>
  <sheetFormatPr defaultRowHeight="14.5" x14ac:dyDescent="0.35"/>
  <cols>
    <col min="1" max="1" width="19.54296875" customWidth="1"/>
    <col min="2" max="2" width="30.7265625" customWidth="1"/>
    <col min="3" max="3" width="19.90625" customWidth="1"/>
    <col min="4" max="4" width="19.26953125" customWidth="1"/>
  </cols>
  <sheetData>
    <row r="1" spans="1:4" x14ac:dyDescent="0.35">
      <c r="A1" s="1" t="s">
        <v>0</v>
      </c>
      <c r="B1" s="1" t="s">
        <v>4</v>
      </c>
      <c r="C1" s="1" t="s">
        <v>3</v>
      </c>
      <c r="D1" s="1" t="s">
        <v>11</v>
      </c>
    </row>
    <row r="2" spans="1:4" x14ac:dyDescent="0.35">
      <c r="A2" s="2" t="s">
        <v>1</v>
      </c>
      <c r="B2" s="2" t="s">
        <v>2</v>
      </c>
      <c r="C2" s="2" t="s">
        <v>8</v>
      </c>
      <c r="D2" s="2" t="s">
        <v>5</v>
      </c>
    </row>
    <row r="3" spans="1:4" x14ac:dyDescent="0.35">
      <c r="A3" s="2" t="s">
        <v>1</v>
      </c>
      <c r="B3" s="2" t="s">
        <v>2</v>
      </c>
      <c r="C3" s="2" t="s">
        <v>9</v>
      </c>
      <c r="D3" s="2" t="s">
        <v>5</v>
      </c>
    </row>
    <row r="4" spans="1:4" x14ac:dyDescent="0.35">
      <c r="A4" s="2" t="s">
        <v>1</v>
      </c>
      <c r="B4" s="2" t="s">
        <v>10</v>
      </c>
      <c r="C4" s="2" t="s">
        <v>8</v>
      </c>
      <c r="D4" s="2" t="s">
        <v>5</v>
      </c>
    </row>
    <row r="5" spans="1:4" x14ac:dyDescent="0.35">
      <c r="A5" s="2" t="s">
        <v>1</v>
      </c>
      <c r="B5" s="2" t="s">
        <v>2</v>
      </c>
      <c r="C5" s="2" t="s">
        <v>8</v>
      </c>
      <c r="D5" s="2" t="s">
        <v>6</v>
      </c>
    </row>
    <row r="6" spans="1:4" x14ac:dyDescent="0.35">
      <c r="A6" s="2" t="s">
        <v>1</v>
      </c>
      <c r="B6" s="2" t="s">
        <v>10</v>
      </c>
      <c r="C6" s="2" t="s">
        <v>8</v>
      </c>
      <c r="D6" s="2" t="s">
        <v>6</v>
      </c>
    </row>
    <row r="7" spans="1:4" x14ac:dyDescent="0.35">
      <c r="A7" s="2" t="s">
        <v>1</v>
      </c>
      <c r="B7" s="2" t="s">
        <v>2</v>
      </c>
      <c r="C7" s="2" t="s">
        <v>8</v>
      </c>
      <c r="D7" s="2" t="s">
        <v>7</v>
      </c>
    </row>
    <row r="8" spans="1:4" x14ac:dyDescent="0.35">
      <c r="A8" s="2" t="s">
        <v>1</v>
      </c>
      <c r="B8" s="2" t="s">
        <v>10</v>
      </c>
      <c r="C8" s="2" t="s">
        <v>8</v>
      </c>
      <c r="D8" s="2" t="s">
        <v>7</v>
      </c>
    </row>
    <row r="9" spans="1:4" x14ac:dyDescent="0.35">
      <c r="A9" s="2" t="s">
        <v>33</v>
      </c>
      <c r="B9" s="2" t="s">
        <v>2</v>
      </c>
      <c r="C9" s="2" t="s">
        <v>8</v>
      </c>
      <c r="D9" s="2" t="s">
        <v>5</v>
      </c>
    </row>
    <row r="10" spans="1:4" x14ac:dyDescent="0.35">
      <c r="A10" s="2" t="s">
        <v>42</v>
      </c>
      <c r="B10" s="2" t="s">
        <v>2</v>
      </c>
      <c r="C10" s="2" t="s">
        <v>8</v>
      </c>
      <c r="D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DA54-3A90-4F91-A7ED-629D5BF96EB3}">
  <dimension ref="A1:R32"/>
  <sheetViews>
    <sheetView tabSelected="1" zoomScale="60" zoomScaleNormal="60" workbookViewId="0">
      <pane xSplit="1" topLeftCell="B1" activePane="topRight" state="frozen"/>
      <selection pane="topRight" activeCell="D1" sqref="D1"/>
    </sheetView>
  </sheetViews>
  <sheetFormatPr defaultRowHeight="14.5" x14ac:dyDescent="0.35"/>
  <cols>
    <col min="1" max="1" width="31" bestFit="1" customWidth="1"/>
    <col min="2" max="2" width="17.08984375" customWidth="1"/>
    <col min="3" max="3" width="17.1796875" customWidth="1"/>
    <col min="4" max="9" width="16.26953125" customWidth="1"/>
    <col min="10" max="10" width="14.453125" style="12" customWidth="1"/>
    <col min="11" max="11" width="20.26953125" style="12" customWidth="1"/>
    <col min="12" max="12" width="23.6328125" style="12" bestFit="1" customWidth="1"/>
    <col min="13" max="13" width="15.54296875" style="12" customWidth="1"/>
    <col min="14" max="14" width="14.453125" customWidth="1"/>
    <col min="15" max="15" width="13.6328125" customWidth="1"/>
    <col min="16" max="16" width="15.81640625" customWidth="1"/>
    <col min="17" max="18" width="13.7265625" customWidth="1"/>
  </cols>
  <sheetData>
    <row r="1" spans="1:18" ht="108" customHeight="1" x14ac:dyDescent="0.35">
      <c r="A1" s="3" t="s">
        <v>12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5" t="s">
        <v>34</v>
      </c>
      <c r="L1" s="5" t="s">
        <v>60</v>
      </c>
      <c r="M1" s="5" t="s">
        <v>36</v>
      </c>
      <c r="N1" s="5" t="s">
        <v>39</v>
      </c>
      <c r="O1" s="5" t="s">
        <v>75</v>
      </c>
      <c r="P1" s="5" t="s">
        <v>13</v>
      </c>
      <c r="Q1" s="5" t="s">
        <v>40</v>
      </c>
      <c r="R1" s="5" t="s">
        <v>76</v>
      </c>
    </row>
    <row r="2" spans="1:18" ht="16" x14ac:dyDescent="0.35">
      <c r="A2" s="7" t="s">
        <v>65</v>
      </c>
      <c r="B2" s="22" t="s">
        <v>110</v>
      </c>
      <c r="C2" s="6" t="s">
        <v>15</v>
      </c>
      <c r="D2" s="8" t="s">
        <v>18</v>
      </c>
      <c r="E2" s="6" t="s">
        <v>15</v>
      </c>
      <c r="F2" s="8" t="s">
        <v>18</v>
      </c>
      <c r="G2" s="8" t="s">
        <v>18</v>
      </c>
      <c r="H2" s="8" t="s">
        <v>18</v>
      </c>
      <c r="I2" s="22" t="s">
        <v>110</v>
      </c>
      <c r="J2" s="22" t="s">
        <v>110</v>
      </c>
      <c r="K2" s="11" t="s">
        <v>70</v>
      </c>
      <c r="L2" s="11" t="s">
        <v>35</v>
      </c>
      <c r="M2" s="11" t="s">
        <v>37</v>
      </c>
      <c r="N2" s="2"/>
      <c r="O2" s="2"/>
      <c r="P2" s="8" t="s">
        <v>18</v>
      </c>
      <c r="Q2" s="2"/>
      <c r="R2" s="2"/>
    </row>
    <row r="3" spans="1:18" ht="16" x14ac:dyDescent="0.35">
      <c r="A3" s="2" t="s">
        <v>19</v>
      </c>
      <c r="B3" s="22" t="s">
        <v>110</v>
      </c>
      <c r="C3" s="6" t="s">
        <v>15</v>
      </c>
      <c r="D3" s="8" t="s">
        <v>18</v>
      </c>
      <c r="E3" s="6" t="s">
        <v>15</v>
      </c>
      <c r="F3" s="8" t="s">
        <v>18</v>
      </c>
      <c r="G3" s="8" t="s">
        <v>18</v>
      </c>
      <c r="H3" s="8" t="s">
        <v>18</v>
      </c>
      <c r="I3" s="22" t="s">
        <v>110</v>
      </c>
      <c r="J3" s="22" t="s">
        <v>110</v>
      </c>
      <c r="K3" s="11" t="s">
        <v>70</v>
      </c>
      <c r="L3" s="11" t="s">
        <v>35</v>
      </c>
      <c r="M3" s="11" t="s">
        <v>37</v>
      </c>
      <c r="N3" s="2"/>
      <c r="O3" s="2"/>
      <c r="P3" s="8" t="s">
        <v>18</v>
      </c>
      <c r="Q3" s="2"/>
      <c r="R3" s="2"/>
    </row>
    <row r="4" spans="1:18" ht="16" x14ac:dyDescent="0.35">
      <c r="A4" s="7" t="s">
        <v>14</v>
      </c>
      <c r="B4" s="22" t="s">
        <v>110</v>
      </c>
      <c r="C4" s="6" t="s">
        <v>15</v>
      </c>
      <c r="D4" s="8" t="s">
        <v>18</v>
      </c>
      <c r="E4" s="6" t="s">
        <v>15</v>
      </c>
      <c r="F4" s="8" t="s">
        <v>18</v>
      </c>
      <c r="G4" s="8" t="s">
        <v>18</v>
      </c>
      <c r="H4" s="8" t="s">
        <v>18</v>
      </c>
      <c r="I4" s="22" t="s">
        <v>110</v>
      </c>
      <c r="J4" s="22" t="s">
        <v>110</v>
      </c>
      <c r="K4" s="11" t="s">
        <v>72</v>
      </c>
      <c r="L4" s="11" t="s">
        <v>63</v>
      </c>
      <c r="M4" s="11" t="s">
        <v>38</v>
      </c>
      <c r="N4" s="2"/>
      <c r="O4" s="2"/>
      <c r="P4" s="6" t="s">
        <v>15</v>
      </c>
      <c r="Q4" s="2"/>
      <c r="R4" s="2"/>
    </row>
    <row r="5" spans="1:18" ht="16" x14ac:dyDescent="0.35">
      <c r="A5" s="2" t="s">
        <v>16</v>
      </c>
      <c r="B5" s="22" t="s">
        <v>110</v>
      </c>
      <c r="C5" s="6" t="s">
        <v>15</v>
      </c>
      <c r="D5" s="8" t="s">
        <v>18</v>
      </c>
      <c r="E5" s="6" t="s">
        <v>15</v>
      </c>
      <c r="F5" s="8" t="s">
        <v>18</v>
      </c>
      <c r="G5" s="8" t="s">
        <v>18</v>
      </c>
      <c r="H5" s="8" t="s">
        <v>18</v>
      </c>
      <c r="I5" s="22" t="s">
        <v>110</v>
      </c>
      <c r="J5" s="22" t="s">
        <v>110</v>
      </c>
      <c r="K5" s="11" t="s">
        <v>72</v>
      </c>
      <c r="L5" s="11" t="s">
        <v>63</v>
      </c>
      <c r="M5" s="11" t="s">
        <v>38</v>
      </c>
      <c r="N5" s="2"/>
      <c r="O5" s="2"/>
      <c r="P5" s="6" t="s">
        <v>15</v>
      </c>
      <c r="Q5" s="2"/>
      <c r="R5" s="2"/>
    </row>
    <row r="6" spans="1:18" ht="16" x14ac:dyDescent="0.35">
      <c r="A6" s="7" t="s">
        <v>17</v>
      </c>
      <c r="B6" s="22" t="s">
        <v>110</v>
      </c>
      <c r="C6" s="6" t="s">
        <v>15</v>
      </c>
      <c r="D6" s="8" t="s">
        <v>18</v>
      </c>
      <c r="E6" s="6" t="s">
        <v>15</v>
      </c>
      <c r="F6" s="8" t="s">
        <v>18</v>
      </c>
      <c r="G6" s="8" t="s">
        <v>18</v>
      </c>
      <c r="H6" s="8" t="s">
        <v>18</v>
      </c>
      <c r="I6" s="22" t="s">
        <v>110</v>
      </c>
      <c r="J6" s="22" t="s">
        <v>110</v>
      </c>
      <c r="K6" s="11" t="s">
        <v>72</v>
      </c>
      <c r="L6" s="11" t="s">
        <v>63</v>
      </c>
      <c r="M6" s="11" t="s">
        <v>38</v>
      </c>
      <c r="N6" s="2"/>
      <c r="O6" s="2"/>
      <c r="P6" s="6" t="s">
        <v>15</v>
      </c>
      <c r="Q6" s="2"/>
      <c r="R6" s="2"/>
    </row>
    <row r="7" spans="1:18" ht="16" x14ac:dyDescent="0.35">
      <c r="A7" s="2" t="s">
        <v>20</v>
      </c>
      <c r="B7" s="22" t="s">
        <v>110</v>
      </c>
      <c r="C7" s="8" t="s">
        <v>18</v>
      </c>
      <c r="D7" s="8" t="s">
        <v>18</v>
      </c>
      <c r="E7" s="6" t="s">
        <v>15</v>
      </c>
      <c r="F7" s="8" t="s">
        <v>18</v>
      </c>
      <c r="G7" s="8" t="s">
        <v>18</v>
      </c>
      <c r="H7" s="8" t="s">
        <v>18</v>
      </c>
      <c r="I7" s="22" t="s">
        <v>110</v>
      </c>
      <c r="J7" s="22" t="s">
        <v>110</v>
      </c>
      <c r="K7" s="11" t="s">
        <v>72</v>
      </c>
      <c r="L7" s="11" t="s">
        <v>63</v>
      </c>
      <c r="M7" s="11" t="s">
        <v>37</v>
      </c>
      <c r="N7" s="2"/>
      <c r="O7" s="2"/>
      <c r="P7" s="8" t="s">
        <v>18</v>
      </c>
      <c r="Q7" s="2"/>
      <c r="R7" s="2"/>
    </row>
    <row r="8" spans="1:18" ht="16" x14ac:dyDescent="0.35">
      <c r="A8" s="2" t="s">
        <v>23</v>
      </c>
      <c r="B8" s="22" t="s">
        <v>110</v>
      </c>
      <c r="C8" s="6" t="s">
        <v>15</v>
      </c>
      <c r="D8" s="8" t="s">
        <v>18</v>
      </c>
      <c r="E8" s="6" t="s">
        <v>15</v>
      </c>
      <c r="F8" s="8" t="s">
        <v>18</v>
      </c>
      <c r="G8" s="8" t="s">
        <v>18</v>
      </c>
      <c r="H8" s="8" t="s">
        <v>18</v>
      </c>
      <c r="I8" s="22" t="s">
        <v>110</v>
      </c>
      <c r="J8" s="22" t="s">
        <v>110</v>
      </c>
      <c r="K8" s="11" t="s">
        <v>72</v>
      </c>
      <c r="L8" s="11" t="s">
        <v>43</v>
      </c>
      <c r="M8" s="11" t="s">
        <v>37</v>
      </c>
      <c r="N8" s="2"/>
      <c r="O8" s="2"/>
      <c r="P8" s="6" t="s">
        <v>15</v>
      </c>
      <c r="Q8" s="2"/>
      <c r="R8" s="2"/>
    </row>
    <row r="9" spans="1:18" ht="16" x14ac:dyDescent="0.35">
      <c r="A9" s="10" t="s">
        <v>64</v>
      </c>
      <c r="B9" s="22" t="s">
        <v>110</v>
      </c>
      <c r="C9" s="6" t="s">
        <v>15</v>
      </c>
      <c r="D9" s="8" t="s">
        <v>18</v>
      </c>
      <c r="E9" s="6" t="s">
        <v>15</v>
      </c>
      <c r="F9" s="8" t="s">
        <v>18</v>
      </c>
      <c r="G9" s="8" t="s">
        <v>18</v>
      </c>
      <c r="H9" s="8" t="s">
        <v>18</v>
      </c>
      <c r="I9" s="22" t="s">
        <v>110</v>
      </c>
      <c r="J9" s="22" t="s">
        <v>110</v>
      </c>
      <c r="K9" s="11" t="s">
        <v>72</v>
      </c>
      <c r="L9" s="11" t="s">
        <v>43</v>
      </c>
      <c r="M9" s="11" t="s">
        <v>37</v>
      </c>
      <c r="N9" s="2"/>
      <c r="O9" s="2"/>
      <c r="P9" s="6" t="s">
        <v>15</v>
      </c>
      <c r="Q9" s="2"/>
      <c r="R9" s="2"/>
    </row>
    <row r="10" spans="1:18" ht="16" x14ac:dyDescent="0.35">
      <c r="A10" s="7" t="s">
        <v>21</v>
      </c>
      <c r="B10" s="22" t="s">
        <v>110</v>
      </c>
      <c r="C10" s="6" t="s">
        <v>15</v>
      </c>
      <c r="D10" s="8" t="s">
        <v>18</v>
      </c>
      <c r="E10" s="6" t="s">
        <v>15</v>
      </c>
      <c r="F10" s="8" t="s">
        <v>18</v>
      </c>
      <c r="G10" s="8" t="s">
        <v>18</v>
      </c>
      <c r="H10" s="8" t="s">
        <v>18</v>
      </c>
      <c r="I10" s="22" t="s">
        <v>110</v>
      </c>
      <c r="J10" s="22" t="s">
        <v>110</v>
      </c>
      <c r="K10" s="11" t="s">
        <v>72</v>
      </c>
      <c r="L10" s="11" t="s">
        <v>43</v>
      </c>
      <c r="M10" s="11" t="s">
        <v>37</v>
      </c>
      <c r="N10" s="2"/>
      <c r="O10" s="2"/>
      <c r="P10" s="6" t="s">
        <v>15</v>
      </c>
      <c r="Q10" s="2"/>
      <c r="R10" s="2"/>
    </row>
    <row r="11" spans="1:18" ht="16" x14ac:dyDescent="0.35">
      <c r="A11" s="7" t="s">
        <v>22</v>
      </c>
      <c r="B11" s="22" t="s">
        <v>110</v>
      </c>
      <c r="C11" s="6" t="s">
        <v>15</v>
      </c>
      <c r="D11" s="8" t="s">
        <v>18</v>
      </c>
      <c r="E11" s="6" t="s">
        <v>15</v>
      </c>
      <c r="F11" s="8" t="s">
        <v>18</v>
      </c>
      <c r="G11" s="8" t="s">
        <v>18</v>
      </c>
      <c r="H11" s="8" t="s">
        <v>18</v>
      </c>
      <c r="I11" s="22" t="s">
        <v>110</v>
      </c>
      <c r="J11" s="22" t="s">
        <v>110</v>
      </c>
      <c r="K11" s="11" t="s">
        <v>72</v>
      </c>
      <c r="L11" s="11" t="s">
        <v>43</v>
      </c>
      <c r="M11" s="11" t="s">
        <v>37</v>
      </c>
      <c r="N11" s="2"/>
      <c r="O11" s="2"/>
      <c r="P11" s="6" t="s">
        <v>15</v>
      </c>
      <c r="Q11" s="2"/>
      <c r="R11" s="2"/>
    </row>
    <row r="12" spans="1:18" ht="16" x14ac:dyDescent="0.35">
      <c r="A12" s="2" t="s">
        <v>24</v>
      </c>
      <c r="B12" s="22" t="s">
        <v>110</v>
      </c>
      <c r="C12" s="6" t="s">
        <v>15</v>
      </c>
      <c r="D12" s="8" t="s">
        <v>18</v>
      </c>
      <c r="E12" s="6" t="s">
        <v>15</v>
      </c>
      <c r="F12" s="8" t="s">
        <v>18</v>
      </c>
      <c r="G12" s="8" t="s">
        <v>18</v>
      </c>
      <c r="H12" s="8" t="s">
        <v>18</v>
      </c>
      <c r="I12" s="22" t="s">
        <v>110</v>
      </c>
      <c r="J12" s="22" t="s">
        <v>110</v>
      </c>
      <c r="K12" s="11" t="s">
        <v>72</v>
      </c>
      <c r="L12" s="11" t="s">
        <v>63</v>
      </c>
      <c r="M12" s="11" t="s">
        <v>37</v>
      </c>
      <c r="N12" s="2"/>
      <c r="O12" s="2"/>
      <c r="P12" s="6" t="s">
        <v>15</v>
      </c>
      <c r="Q12" s="2"/>
      <c r="R12" s="2"/>
    </row>
    <row r="13" spans="1:18" ht="16" x14ac:dyDescent="0.35">
      <c r="A13" s="7" t="s">
        <v>26</v>
      </c>
      <c r="B13" s="22" t="s">
        <v>110</v>
      </c>
      <c r="C13" s="6" t="s">
        <v>15</v>
      </c>
      <c r="D13" s="8" t="s">
        <v>18</v>
      </c>
      <c r="E13" s="6" t="s">
        <v>15</v>
      </c>
      <c r="F13" s="8" t="s">
        <v>18</v>
      </c>
      <c r="G13" s="8" t="s">
        <v>18</v>
      </c>
      <c r="H13" s="8" t="s">
        <v>18</v>
      </c>
      <c r="I13" s="22" t="s">
        <v>110</v>
      </c>
      <c r="J13" s="22" t="s">
        <v>110</v>
      </c>
      <c r="K13" s="11" t="s">
        <v>72</v>
      </c>
      <c r="L13" s="11" t="s">
        <v>62</v>
      </c>
      <c r="M13" s="11" t="s">
        <v>37</v>
      </c>
      <c r="N13" s="2"/>
      <c r="O13" s="2"/>
      <c r="P13" s="6" t="s">
        <v>15</v>
      </c>
      <c r="Q13" s="2"/>
      <c r="R13" s="2"/>
    </row>
    <row r="14" spans="1:18" ht="16" x14ac:dyDescent="0.35">
      <c r="A14" s="7" t="s">
        <v>27</v>
      </c>
      <c r="B14" s="22" t="s">
        <v>110</v>
      </c>
      <c r="C14" s="6" t="s">
        <v>15</v>
      </c>
      <c r="D14" s="8" t="s">
        <v>18</v>
      </c>
      <c r="E14" s="6" t="s">
        <v>15</v>
      </c>
      <c r="F14" s="8" t="s">
        <v>18</v>
      </c>
      <c r="G14" s="8" t="s">
        <v>18</v>
      </c>
      <c r="H14" s="8" t="s">
        <v>18</v>
      </c>
      <c r="I14" s="22" t="s">
        <v>110</v>
      </c>
      <c r="J14" s="22" t="s">
        <v>110</v>
      </c>
      <c r="K14" s="11" t="s">
        <v>72</v>
      </c>
      <c r="L14" s="11" t="s">
        <v>62</v>
      </c>
      <c r="M14" s="11" t="s">
        <v>37</v>
      </c>
      <c r="N14" s="2"/>
      <c r="O14" s="2"/>
      <c r="P14" s="6" t="s">
        <v>15</v>
      </c>
      <c r="Q14" s="2"/>
      <c r="R14" s="2"/>
    </row>
    <row r="15" spans="1:18" ht="16" x14ac:dyDescent="0.35">
      <c r="A15" s="7" t="s">
        <v>28</v>
      </c>
      <c r="B15" s="22" t="s">
        <v>110</v>
      </c>
      <c r="C15" s="6" t="s">
        <v>15</v>
      </c>
      <c r="D15" s="8" t="s">
        <v>18</v>
      </c>
      <c r="E15" s="6" t="s">
        <v>15</v>
      </c>
      <c r="F15" s="8" t="s">
        <v>18</v>
      </c>
      <c r="G15" s="8" t="s">
        <v>18</v>
      </c>
      <c r="H15" s="8" t="s">
        <v>18</v>
      </c>
      <c r="I15" s="22" t="s">
        <v>110</v>
      </c>
      <c r="J15" s="22" t="s">
        <v>110</v>
      </c>
      <c r="K15" s="11" t="s">
        <v>72</v>
      </c>
      <c r="L15" s="11" t="s">
        <v>62</v>
      </c>
      <c r="M15" s="11" t="s">
        <v>38</v>
      </c>
      <c r="N15" s="2"/>
      <c r="O15" s="2"/>
      <c r="P15" s="6" t="s">
        <v>15</v>
      </c>
      <c r="Q15" s="2"/>
      <c r="R15" s="2"/>
    </row>
    <row r="16" spans="1:18" ht="16" x14ac:dyDescent="0.35">
      <c r="A16" s="7" t="s">
        <v>29</v>
      </c>
      <c r="B16" s="22" t="s">
        <v>110</v>
      </c>
      <c r="C16" s="6" t="s">
        <v>15</v>
      </c>
      <c r="D16" s="8" t="s">
        <v>18</v>
      </c>
      <c r="E16" s="6" t="s">
        <v>15</v>
      </c>
      <c r="F16" s="8" t="s">
        <v>18</v>
      </c>
      <c r="G16" s="8" t="s">
        <v>18</v>
      </c>
      <c r="H16" s="8" t="s">
        <v>18</v>
      </c>
      <c r="I16" s="22" t="s">
        <v>110</v>
      </c>
      <c r="J16" s="22" t="s">
        <v>110</v>
      </c>
      <c r="K16" s="11" t="s">
        <v>72</v>
      </c>
      <c r="L16" s="11" t="s">
        <v>62</v>
      </c>
      <c r="M16" s="11" t="s">
        <v>38</v>
      </c>
      <c r="N16" s="2"/>
      <c r="O16" s="2"/>
      <c r="P16" s="6" t="s">
        <v>15</v>
      </c>
      <c r="Q16" s="2"/>
      <c r="R16" s="2"/>
    </row>
    <row r="17" spans="1:18" ht="16" x14ac:dyDescent="0.35">
      <c r="A17" s="7" t="s">
        <v>30</v>
      </c>
      <c r="B17" s="22" t="s">
        <v>110</v>
      </c>
      <c r="C17" s="6" t="s">
        <v>15</v>
      </c>
      <c r="D17" s="8" t="s">
        <v>18</v>
      </c>
      <c r="E17" s="6" t="s">
        <v>15</v>
      </c>
      <c r="F17" s="8" t="s">
        <v>18</v>
      </c>
      <c r="G17" s="8" t="s">
        <v>18</v>
      </c>
      <c r="H17" s="8" t="s">
        <v>18</v>
      </c>
      <c r="I17" s="22" t="s">
        <v>110</v>
      </c>
      <c r="J17" s="22" t="s">
        <v>110</v>
      </c>
      <c r="K17" s="11" t="s">
        <v>72</v>
      </c>
      <c r="L17" s="11" t="s">
        <v>62</v>
      </c>
      <c r="M17" s="11" t="s">
        <v>38</v>
      </c>
      <c r="N17" s="2"/>
      <c r="O17" s="2"/>
      <c r="P17" s="6" t="s">
        <v>15</v>
      </c>
      <c r="Q17" s="2"/>
      <c r="R17" s="2"/>
    </row>
    <row r="18" spans="1:18" ht="16" x14ac:dyDescent="0.35">
      <c r="A18" s="7" t="s">
        <v>31</v>
      </c>
      <c r="B18" s="22" t="s">
        <v>110</v>
      </c>
      <c r="C18" s="6" t="s">
        <v>15</v>
      </c>
      <c r="D18" s="8" t="s">
        <v>18</v>
      </c>
      <c r="E18" s="6" t="s">
        <v>15</v>
      </c>
      <c r="F18" s="8" t="s">
        <v>18</v>
      </c>
      <c r="G18" s="8" t="s">
        <v>18</v>
      </c>
      <c r="H18" s="8" t="s">
        <v>18</v>
      </c>
      <c r="I18" s="22" t="s">
        <v>110</v>
      </c>
      <c r="J18" s="22" t="s">
        <v>110</v>
      </c>
      <c r="K18" s="11" t="s">
        <v>72</v>
      </c>
      <c r="L18" s="11" t="s">
        <v>62</v>
      </c>
      <c r="M18" s="11" t="s">
        <v>37</v>
      </c>
      <c r="N18" s="2"/>
      <c r="O18" s="2"/>
      <c r="P18" s="6" t="s">
        <v>15</v>
      </c>
      <c r="Q18" s="2"/>
      <c r="R18" s="2"/>
    </row>
    <row r="19" spans="1:18" ht="35" customHeight="1" x14ac:dyDescent="0.35">
      <c r="A19" s="9" t="s">
        <v>25</v>
      </c>
      <c r="B19" s="22" t="s">
        <v>110</v>
      </c>
      <c r="C19" s="6" t="s">
        <v>15</v>
      </c>
      <c r="D19" s="8" t="s">
        <v>18</v>
      </c>
      <c r="E19" s="6" t="s">
        <v>15</v>
      </c>
      <c r="F19" s="8" t="s">
        <v>18</v>
      </c>
      <c r="G19" s="8" t="s">
        <v>18</v>
      </c>
      <c r="H19" s="8" t="s">
        <v>18</v>
      </c>
      <c r="I19" s="22" t="s">
        <v>110</v>
      </c>
      <c r="J19" s="22" t="s">
        <v>110</v>
      </c>
      <c r="K19" s="11" t="s">
        <v>72</v>
      </c>
      <c r="L19" s="11" t="s">
        <v>63</v>
      </c>
      <c r="M19" s="11" t="s">
        <v>38</v>
      </c>
      <c r="N19" s="2"/>
      <c r="O19" s="2"/>
      <c r="P19" s="6" t="s">
        <v>15</v>
      </c>
      <c r="Q19" s="2"/>
      <c r="R19" s="2"/>
    </row>
    <row r="20" spans="1:18" ht="16" x14ac:dyDescent="0.35">
      <c r="A20" s="9" t="s">
        <v>73</v>
      </c>
      <c r="B20" s="23" t="s">
        <v>18</v>
      </c>
      <c r="C20" s="6" t="s">
        <v>15</v>
      </c>
      <c r="D20" s="8" t="s">
        <v>18</v>
      </c>
      <c r="E20" s="8" t="s">
        <v>18</v>
      </c>
      <c r="F20" s="8" t="s">
        <v>18</v>
      </c>
      <c r="G20" s="8" t="s">
        <v>18</v>
      </c>
      <c r="H20" s="8" t="s">
        <v>18</v>
      </c>
      <c r="I20" s="23" t="s">
        <v>18</v>
      </c>
      <c r="J20" s="22" t="s">
        <v>110</v>
      </c>
      <c r="K20" s="11" t="s">
        <v>72</v>
      </c>
      <c r="L20" s="11" t="s">
        <v>43</v>
      </c>
      <c r="M20" s="11" t="s">
        <v>37</v>
      </c>
      <c r="N20" s="2"/>
      <c r="O20" s="2"/>
      <c r="P20" s="6" t="s">
        <v>15</v>
      </c>
      <c r="Q20" s="2"/>
      <c r="R20" s="2"/>
    </row>
    <row r="21" spans="1:18" ht="16" x14ac:dyDescent="0.35">
      <c r="A21" s="9" t="s">
        <v>74</v>
      </c>
      <c r="B21" s="23" t="s">
        <v>18</v>
      </c>
      <c r="C21" s="6" t="s">
        <v>15</v>
      </c>
      <c r="D21" s="8" t="s">
        <v>18</v>
      </c>
      <c r="E21" s="8" t="s">
        <v>18</v>
      </c>
      <c r="F21" s="8" t="s">
        <v>18</v>
      </c>
      <c r="G21" s="8" t="s">
        <v>18</v>
      </c>
      <c r="H21" s="8" t="s">
        <v>18</v>
      </c>
      <c r="I21" s="23" t="s">
        <v>18</v>
      </c>
      <c r="J21" s="22" t="s">
        <v>110</v>
      </c>
      <c r="K21" s="11" t="s">
        <v>72</v>
      </c>
      <c r="L21" s="11" t="s">
        <v>43</v>
      </c>
      <c r="M21" s="11" t="s">
        <v>37</v>
      </c>
      <c r="N21" s="2"/>
      <c r="O21" s="2"/>
      <c r="P21" s="6" t="s">
        <v>15</v>
      </c>
      <c r="Q21" s="2"/>
      <c r="R21" s="2"/>
    </row>
    <row r="22" spans="1:18" ht="16" x14ac:dyDescent="0.35">
      <c r="A22" s="9" t="s">
        <v>69</v>
      </c>
      <c r="B22" s="23" t="s">
        <v>18</v>
      </c>
      <c r="C22" s="6" t="s">
        <v>15</v>
      </c>
      <c r="D22" s="6" t="s">
        <v>15</v>
      </c>
      <c r="E22" s="8" t="s">
        <v>18</v>
      </c>
      <c r="F22" s="6" t="s">
        <v>15</v>
      </c>
      <c r="G22" s="6" t="s">
        <v>15</v>
      </c>
      <c r="H22" s="6" t="s">
        <v>15</v>
      </c>
      <c r="I22" s="23" t="s">
        <v>18</v>
      </c>
      <c r="J22" s="23" t="s">
        <v>18</v>
      </c>
      <c r="K22" s="11" t="s">
        <v>72</v>
      </c>
      <c r="L22" s="11" t="s">
        <v>61</v>
      </c>
      <c r="M22" s="11" t="s">
        <v>38</v>
      </c>
      <c r="N22" s="2"/>
      <c r="O22" s="2"/>
      <c r="P22" s="6" t="s">
        <v>15</v>
      </c>
      <c r="Q22" s="2"/>
      <c r="R22" s="2"/>
    </row>
    <row r="23" spans="1:18" ht="16" x14ac:dyDescent="0.35">
      <c r="A23" s="9" t="s">
        <v>68</v>
      </c>
      <c r="B23" s="23" t="s">
        <v>18</v>
      </c>
      <c r="C23" s="6" t="s">
        <v>15</v>
      </c>
      <c r="D23" s="6" t="s">
        <v>15</v>
      </c>
      <c r="E23" s="8" t="s">
        <v>18</v>
      </c>
      <c r="F23" s="6" t="s">
        <v>15</v>
      </c>
      <c r="G23" s="6" t="s">
        <v>15</v>
      </c>
      <c r="H23" s="6" t="s">
        <v>15</v>
      </c>
      <c r="I23" s="23" t="s">
        <v>18</v>
      </c>
      <c r="J23" s="23" t="s">
        <v>18</v>
      </c>
      <c r="K23" s="11" t="s">
        <v>72</v>
      </c>
      <c r="L23" s="11" t="s">
        <v>61</v>
      </c>
      <c r="M23" s="11" t="s">
        <v>38</v>
      </c>
      <c r="N23" s="2"/>
      <c r="O23" s="2"/>
      <c r="P23" s="8" t="s">
        <v>18</v>
      </c>
      <c r="Q23" s="2"/>
      <c r="R23" s="2"/>
    </row>
    <row r="24" spans="1:18" ht="16" x14ac:dyDescent="0.35">
      <c r="A24" s="9" t="s">
        <v>32</v>
      </c>
      <c r="B24" s="23" t="s">
        <v>18</v>
      </c>
      <c r="C24" s="6" t="s">
        <v>15</v>
      </c>
      <c r="D24" s="6" t="s">
        <v>15</v>
      </c>
      <c r="E24" s="8" t="s">
        <v>18</v>
      </c>
      <c r="F24" s="6" t="s">
        <v>15</v>
      </c>
      <c r="G24" s="6" t="s">
        <v>15</v>
      </c>
      <c r="H24" s="6" t="s">
        <v>15</v>
      </c>
      <c r="I24" s="23" t="s">
        <v>18</v>
      </c>
      <c r="J24" s="23" t="s">
        <v>18</v>
      </c>
      <c r="K24" s="11" t="s">
        <v>72</v>
      </c>
      <c r="L24" s="11" t="s">
        <v>61</v>
      </c>
      <c r="M24" s="11" t="s">
        <v>37</v>
      </c>
      <c r="N24" s="2"/>
      <c r="O24" s="2"/>
      <c r="P24" s="8" t="s">
        <v>18</v>
      </c>
      <c r="Q24" s="2"/>
      <c r="R24" s="2"/>
    </row>
    <row r="25" spans="1:18" ht="16" x14ac:dyDescent="0.35">
      <c r="A25" s="9" t="s">
        <v>66</v>
      </c>
      <c r="B25" s="23" t="s">
        <v>18</v>
      </c>
      <c r="C25" s="6" t="s">
        <v>15</v>
      </c>
      <c r="D25" s="6" t="s">
        <v>15</v>
      </c>
      <c r="E25" s="8" t="s">
        <v>18</v>
      </c>
      <c r="F25" s="6" t="s">
        <v>15</v>
      </c>
      <c r="G25" s="6" t="s">
        <v>15</v>
      </c>
      <c r="H25" s="6" t="s">
        <v>15</v>
      </c>
      <c r="I25" s="23" t="s">
        <v>18</v>
      </c>
      <c r="J25" s="23" t="s">
        <v>18</v>
      </c>
      <c r="K25" s="11" t="s">
        <v>72</v>
      </c>
      <c r="L25" s="11" t="s">
        <v>61</v>
      </c>
      <c r="M25" s="11"/>
      <c r="N25" s="2"/>
      <c r="O25" s="2"/>
      <c r="P25" s="8" t="s">
        <v>18</v>
      </c>
      <c r="Q25" s="2"/>
      <c r="R25" s="2"/>
    </row>
    <row r="26" spans="1:18" ht="16" x14ac:dyDescent="0.35">
      <c r="A26" s="9" t="s">
        <v>67</v>
      </c>
      <c r="B26" s="23" t="s">
        <v>18</v>
      </c>
      <c r="C26" s="6" t="s">
        <v>15</v>
      </c>
      <c r="D26" s="6" t="s">
        <v>15</v>
      </c>
      <c r="E26" s="8" t="s">
        <v>18</v>
      </c>
      <c r="F26" s="6" t="s">
        <v>15</v>
      </c>
      <c r="G26" s="6" t="s">
        <v>15</v>
      </c>
      <c r="H26" s="6" t="s">
        <v>15</v>
      </c>
      <c r="I26" s="23" t="s">
        <v>18</v>
      </c>
      <c r="J26" s="23" t="s">
        <v>18</v>
      </c>
      <c r="K26" s="11" t="s">
        <v>72</v>
      </c>
      <c r="L26" s="11" t="s">
        <v>61</v>
      </c>
      <c r="M26" s="11"/>
      <c r="N26" s="2"/>
      <c r="O26" s="2"/>
      <c r="P26" s="8" t="s">
        <v>18</v>
      </c>
      <c r="Q26" s="2"/>
      <c r="R26" s="2"/>
    </row>
    <row r="27" spans="1:18" ht="16" x14ac:dyDescent="0.35">
      <c r="A27" s="10" t="s">
        <v>44</v>
      </c>
      <c r="B27" s="22" t="s">
        <v>110</v>
      </c>
      <c r="C27" s="8" t="s">
        <v>18</v>
      </c>
      <c r="D27" s="8" t="s">
        <v>18</v>
      </c>
      <c r="E27" s="6" t="s">
        <v>15</v>
      </c>
      <c r="F27" s="8" t="s">
        <v>18</v>
      </c>
      <c r="G27" s="8" t="s">
        <v>18</v>
      </c>
      <c r="H27" s="8" t="s">
        <v>18</v>
      </c>
      <c r="I27" s="22" t="s">
        <v>110</v>
      </c>
      <c r="J27" s="22" t="s">
        <v>110</v>
      </c>
      <c r="K27" s="11" t="s">
        <v>70</v>
      </c>
      <c r="L27" s="11" t="s">
        <v>35</v>
      </c>
      <c r="M27" s="11" t="s">
        <v>37</v>
      </c>
      <c r="N27" s="2"/>
      <c r="O27" s="2"/>
      <c r="P27" s="8" t="s">
        <v>18</v>
      </c>
      <c r="Q27" s="2"/>
      <c r="R27" s="2"/>
    </row>
    <row r="28" spans="1:18" ht="16" x14ac:dyDescent="0.35">
      <c r="A28" s="10" t="s">
        <v>45</v>
      </c>
      <c r="B28" s="22" t="s">
        <v>110</v>
      </c>
      <c r="C28" s="8" t="s">
        <v>18</v>
      </c>
      <c r="D28" s="8" t="s">
        <v>18</v>
      </c>
      <c r="E28" s="6" t="s">
        <v>15</v>
      </c>
      <c r="F28" s="8" t="s">
        <v>18</v>
      </c>
      <c r="G28" s="8" t="s">
        <v>18</v>
      </c>
      <c r="H28" s="8" t="s">
        <v>18</v>
      </c>
      <c r="I28" s="22" t="s">
        <v>110</v>
      </c>
      <c r="J28" s="22" t="s">
        <v>110</v>
      </c>
      <c r="K28" s="11" t="s">
        <v>71</v>
      </c>
      <c r="L28" s="11" t="s">
        <v>50</v>
      </c>
      <c r="M28" s="11" t="s">
        <v>38</v>
      </c>
      <c r="N28" s="2"/>
      <c r="O28" s="2"/>
      <c r="P28" s="6" t="s">
        <v>15</v>
      </c>
      <c r="Q28" s="2"/>
      <c r="R28" s="2"/>
    </row>
    <row r="29" spans="1:18" ht="16" x14ac:dyDescent="0.35">
      <c r="A29" s="10" t="s">
        <v>46</v>
      </c>
      <c r="B29" s="22" t="s">
        <v>110</v>
      </c>
      <c r="C29" s="8" t="s">
        <v>18</v>
      </c>
      <c r="D29" s="8" t="s">
        <v>18</v>
      </c>
      <c r="E29" s="6" t="s">
        <v>15</v>
      </c>
      <c r="F29" s="8" t="s">
        <v>18</v>
      </c>
      <c r="G29" s="8" t="s">
        <v>18</v>
      </c>
      <c r="H29" s="8" t="s">
        <v>18</v>
      </c>
      <c r="I29" s="22" t="s">
        <v>110</v>
      </c>
      <c r="J29" s="22" t="s">
        <v>110</v>
      </c>
      <c r="K29" s="11" t="s">
        <v>71</v>
      </c>
      <c r="L29" s="11" t="s">
        <v>50</v>
      </c>
      <c r="M29" s="11" t="s">
        <v>38</v>
      </c>
      <c r="N29" s="2"/>
      <c r="O29" s="2"/>
      <c r="P29" s="6" t="s">
        <v>15</v>
      </c>
      <c r="Q29" s="2"/>
      <c r="R29" s="2"/>
    </row>
    <row r="30" spans="1:18" ht="16" x14ac:dyDescent="0.35">
      <c r="A30" s="10" t="s">
        <v>47</v>
      </c>
      <c r="B30" s="22" t="s">
        <v>110</v>
      </c>
      <c r="C30" s="8" t="s">
        <v>18</v>
      </c>
      <c r="D30" s="8" t="s">
        <v>18</v>
      </c>
      <c r="E30" s="6" t="s">
        <v>15</v>
      </c>
      <c r="F30" s="8" t="s">
        <v>18</v>
      </c>
      <c r="G30" s="8" t="s">
        <v>18</v>
      </c>
      <c r="H30" s="8" t="s">
        <v>18</v>
      </c>
      <c r="I30" s="22" t="s">
        <v>110</v>
      </c>
      <c r="J30" s="22" t="s">
        <v>110</v>
      </c>
      <c r="K30" s="11" t="s">
        <v>72</v>
      </c>
      <c r="L30" s="11" t="s">
        <v>41</v>
      </c>
      <c r="M30" s="11" t="s">
        <v>37</v>
      </c>
      <c r="N30" s="2"/>
      <c r="O30" s="2"/>
      <c r="P30" s="8" t="s">
        <v>18</v>
      </c>
      <c r="Q30" s="2"/>
      <c r="R30" s="2"/>
    </row>
    <row r="31" spans="1:18" ht="16" x14ac:dyDescent="0.35">
      <c r="A31" s="10" t="s">
        <v>48</v>
      </c>
      <c r="B31" s="22" t="s">
        <v>110</v>
      </c>
      <c r="C31" s="8" t="s">
        <v>18</v>
      </c>
      <c r="D31" s="8" t="s">
        <v>18</v>
      </c>
      <c r="E31" s="6" t="s">
        <v>15</v>
      </c>
      <c r="F31" s="8" t="s">
        <v>18</v>
      </c>
      <c r="G31" s="8" t="s">
        <v>18</v>
      </c>
      <c r="H31" s="8" t="s">
        <v>18</v>
      </c>
      <c r="I31" s="22" t="s">
        <v>110</v>
      </c>
      <c r="J31" s="22" t="s">
        <v>110</v>
      </c>
      <c r="K31" s="11" t="s">
        <v>70</v>
      </c>
      <c r="L31" s="11" t="s">
        <v>35</v>
      </c>
      <c r="M31" s="11" t="s">
        <v>37</v>
      </c>
      <c r="N31" s="2"/>
      <c r="O31" s="2"/>
      <c r="P31" s="8" t="s">
        <v>18</v>
      </c>
      <c r="Q31" s="2"/>
      <c r="R31" s="2"/>
    </row>
    <row r="32" spans="1:18" ht="16" x14ac:dyDescent="0.35">
      <c r="A32" s="10" t="s">
        <v>49</v>
      </c>
      <c r="B32" s="22" t="s">
        <v>110</v>
      </c>
      <c r="C32" s="8" t="s">
        <v>18</v>
      </c>
      <c r="D32" s="8" t="s">
        <v>18</v>
      </c>
      <c r="E32" s="6" t="s">
        <v>15</v>
      </c>
      <c r="F32" s="8" t="s">
        <v>18</v>
      </c>
      <c r="G32" s="8" t="s">
        <v>18</v>
      </c>
      <c r="H32" s="8" t="s">
        <v>18</v>
      </c>
      <c r="I32" s="22" t="s">
        <v>110</v>
      </c>
      <c r="J32" s="22" t="s">
        <v>110</v>
      </c>
      <c r="K32" s="11" t="s">
        <v>71</v>
      </c>
      <c r="L32" s="11" t="s">
        <v>50</v>
      </c>
      <c r="M32" s="11" t="s">
        <v>38</v>
      </c>
      <c r="N32" s="2"/>
      <c r="O32" s="2"/>
      <c r="P32" s="6" t="s">
        <v>15</v>
      </c>
      <c r="Q32" s="2"/>
      <c r="R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1E14-BA67-4DE0-BD0D-A189B932D718}">
  <dimension ref="A1:F40"/>
  <sheetViews>
    <sheetView showGridLines="0" workbookViewId="0"/>
  </sheetViews>
  <sheetFormatPr defaultRowHeight="14.5" x14ac:dyDescent="0.35"/>
  <cols>
    <col min="1" max="1" width="36.453125" bestFit="1" customWidth="1"/>
    <col min="6" max="6" width="160.90625" bestFit="1" customWidth="1"/>
  </cols>
  <sheetData>
    <row r="1" spans="1:6" x14ac:dyDescent="0.35">
      <c r="A1" s="21" t="s">
        <v>108</v>
      </c>
    </row>
    <row r="3" spans="1:6" ht="29" x14ac:dyDescent="0.35">
      <c r="A3" s="13" t="s">
        <v>109</v>
      </c>
      <c r="B3" s="14" t="s">
        <v>77</v>
      </c>
      <c r="C3" s="15" t="s">
        <v>78</v>
      </c>
      <c r="D3" s="15" t="s">
        <v>79</v>
      </c>
      <c r="E3" s="16" t="s">
        <v>80</v>
      </c>
      <c r="F3" s="16" t="s">
        <v>81</v>
      </c>
    </row>
    <row r="4" spans="1:6" x14ac:dyDescent="0.35">
      <c r="A4" s="17" t="s">
        <v>65</v>
      </c>
      <c r="B4" s="18">
        <v>0.2</v>
      </c>
      <c r="C4" s="18">
        <v>0.25</v>
      </c>
      <c r="D4" s="19" t="s">
        <v>82</v>
      </c>
      <c r="E4" s="18" t="str">
        <f t="shared" ref="E4:E8" si="0">IF(C4&gt;B4,"&gt;","&lt;")</f>
        <v>&gt;</v>
      </c>
      <c r="F4" s="20" t="str">
        <f t="shared" ref="F4:F8" si="1">" if abs("&amp;A4&amp;") "&amp;E4&amp;"= "&amp;C4&amp; " then RAG status = RED else if abs("&amp;A4&amp;") "&amp;E4&amp;"= "&amp;B4&amp;" then RAG status = AMBER else RAG status = GREEN"</f>
        <v xml:space="preserve"> if abs(PSI (Population Stability Index)) &gt;= 0.25 then RAG status = RED else if abs(PSI (Population Stability Index)) &gt;= 0.2 then RAG status = AMBER else RAG status = GREEN</v>
      </c>
    </row>
    <row r="5" spans="1:6" x14ac:dyDescent="0.35">
      <c r="A5" s="17" t="s">
        <v>83</v>
      </c>
      <c r="B5" s="18">
        <v>0.05</v>
      </c>
      <c r="C5" s="18">
        <v>0.1</v>
      </c>
      <c r="D5" s="19" t="s">
        <v>82</v>
      </c>
      <c r="E5" s="18" t="str">
        <f t="shared" si="0"/>
        <v>&gt;</v>
      </c>
      <c r="F5" s="20" t="str">
        <f t="shared" si="1"/>
        <v xml:space="preserve"> if abs(JSD (Jensen-Shannon Divergence)) &gt;= 0.1 then RAG status = RED else if abs(JSD (Jensen-Shannon Divergence)) &gt;= 0.05 then RAG status = AMBER else RAG status = GREEN</v>
      </c>
    </row>
    <row r="6" spans="1:6" x14ac:dyDescent="0.35">
      <c r="A6" s="17" t="s">
        <v>84</v>
      </c>
      <c r="B6" s="18">
        <v>0.03</v>
      </c>
      <c r="C6" s="18">
        <v>7.0000000000000007E-2</v>
      </c>
      <c r="D6" s="19" t="s">
        <v>82</v>
      </c>
      <c r="E6" s="18" t="str">
        <f t="shared" si="0"/>
        <v>&gt;</v>
      </c>
      <c r="F6" s="20" t="str">
        <f t="shared" si="1"/>
        <v xml:space="preserve"> if abs(ECE (Expected Calibration Error)) &gt;= 0.07 then RAG status = RED else if abs(ECE (Expected Calibration Error)) &gt;= 0.03 then RAG status = AMBER else RAG status = GREEN</v>
      </c>
    </row>
    <row r="7" spans="1:6" x14ac:dyDescent="0.35">
      <c r="A7" s="17" t="s">
        <v>85</v>
      </c>
      <c r="B7" s="18">
        <v>0.05</v>
      </c>
      <c r="C7" s="18">
        <v>0.1</v>
      </c>
      <c r="D7" s="19" t="s">
        <v>86</v>
      </c>
      <c r="E7" s="18" t="str">
        <f t="shared" si="0"/>
        <v>&gt;</v>
      </c>
      <c r="F7" s="20" t="str">
        <f t="shared" si="1"/>
        <v xml:space="preserve"> if abs(% ECE Change) &gt;= 0.1 then RAG status = RED else if abs(% ECE Change) &gt;= 0.05 then RAG status = AMBER else RAG status = GREEN</v>
      </c>
    </row>
    <row r="8" spans="1:6" x14ac:dyDescent="0.35">
      <c r="A8" s="17" t="s">
        <v>87</v>
      </c>
      <c r="B8" s="18">
        <v>0.1</v>
      </c>
      <c r="C8" s="18">
        <v>0.25</v>
      </c>
      <c r="D8" s="19" t="s">
        <v>82</v>
      </c>
      <c r="E8" s="18" t="str">
        <f t="shared" si="0"/>
        <v>&gt;</v>
      </c>
      <c r="F8" s="20" t="str">
        <f t="shared" si="1"/>
        <v xml:space="preserve"> if abs(CSI (Characteristics Stability Index)) &gt;= 0.25 then RAG status = RED else if abs(CSI (Characteristics Stability Index)) &gt;= 0.1 then RAG status = AMBER else RAG status = GREEN</v>
      </c>
    </row>
    <row r="10" spans="1:6" ht="29" x14ac:dyDescent="0.35">
      <c r="A10" s="13" t="s">
        <v>109</v>
      </c>
      <c r="B10" s="14" t="s">
        <v>77</v>
      </c>
      <c r="C10" s="15" t="s">
        <v>78</v>
      </c>
      <c r="D10" s="15" t="s">
        <v>79</v>
      </c>
      <c r="E10" s="16" t="s">
        <v>80</v>
      </c>
      <c r="F10" s="16" t="s">
        <v>81</v>
      </c>
    </row>
    <row r="11" spans="1:6" x14ac:dyDescent="0.35">
      <c r="A11" s="17" t="s">
        <v>14</v>
      </c>
      <c r="B11" s="19">
        <v>0.35</v>
      </c>
      <c r="C11" s="19">
        <v>0.3</v>
      </c>
      <c r="D11" s="19" t="s">
        <v>82</v>
      </c>
      <c r="E11" s="18" t="str">
        <f t="shared" ref="E11:E25" si="2">IF(C11&gt;B11,"&gt;","&lt;")</f>
        <v>&lt;</v>
      </c>
      <c r="F11" s="20" t="str">
        <f t="shared" ref="F11:F25" si="3">" if abs("&amp;A11&amp;") "&amp;E11&amp;"= "&amp;C11&amp; " then RAG status = RED else if abs("&amp;A11&amp;") "&amp;E11&amp;"= "&amp;B11&amp;" then RAG status = AMBER else RAG status = GREEN"</f>
        <v xml:space="preserve"> if abs(KS) &lt;= 0.3 then RAG status = RED else if abs(KS) &lt;= 0.35 then RAG status = AMBER else RAG status = GREEN</v>
      </c>
    </row>
    <row r="12" spans="1:6" x14ac:dyDescent="0.35">
      <c r="A12" s="17" t="s">
        <v>88</v>
      </c>
      <c r="B12" s="19">
        <v>0.2</v>
      </c>
      <c r="C12" s="19">
        <v>0.25</v>
      </c>
      <c r="D12" s="19" t="s">
        <v>86</v>
      </c>
      <c r="E12" s="18" t="str">
        <f t="shared" si="2"/>
        <v>&gt;</v>
      </c>
      <c r="F12" s="20" t="str">
        <f t="shared" si="3"/>
        <v xml:space="preserve"> if abs(%KS Change) &gt;= 0.25 then RAG status = RED else if abs(%KS Change) &gt;= 0.2 then RAG status = AMBER else RAG status = GREEN</v>
      </c>
    </row>
    <row r="13" spans="1:6" x14ac:dyDescent="0.35">
      <c r="A13" s="17" t="s">
        <v>16</v>
      </c>
      <c r="B13" s="18">
        <v>0.7</v>
      </c>
      <c r="C13" s="18">
        <v>0.65</v>
      </c>
      <c r="D13" s="19" t="s">
        <v>82</v>
      </c>
      <c r="E13" s="18" t="str">
        <f t="shared" si="2"/>
        <v>&lt;</v>
      </c>
      <c r="F13" s="20" t="str">
        <f t="shared" si="3"/>
        <v xml:space="preserve"> if abs(AUC) &lt;= 0.65 then RAG status = RED else if abs(AUC) &lt;= 0.7 then RAG status = AMBER else RAG status = GREEN</v>
      </c>
    </row>
    <row r="14" spans="1:6" x14ac:dyDescent="0.35">
      <c r="A14" s="17" t="s">
        <v>89</v>
      </c>
      <c r="B14" s="18">
        <v>0.05</v>
      </c>
      <c r="C14" s="18">
        <v>0.1</v>
      </c>
      <c r="D14" s="19" t="s">
        <v>86</v>
      </c>
      <c r="E14" s="18" t="str">
        <f t="shared" si="2"/>
        <v>&gt;</v>
      </c>
      <c r="F14" s="20" t="str">
        <f t="shared" si="3"/>
        <v xml:space="preserve"> if abs(% AUC Change) &gt;= 0.1 then RAG status = RED else if abs(% AUC Change) &gt;= 0.05 then RAG status = AMBER else RAG status = GREEN</v>
      </c>
    </row>
    <row r="15" spans="1:6" x14ac:dyDescent="0.35">
      <c r="A15" s="17" t="s">
        <v>90</v>
      </c>
      <c r="B15" s="18">
        <v>0.4</v>
      </c>
      <c r="C15" s="18">
        <v>0.3</v>
      </c>
      <c r="D15" s="19" t="s">
        <v>82</v>
      </c>
      <c r="E15" s="18" t="str">
        <f t="shared" si="2"/>
        <v>&lt;</v>
      </c>
      <c r="F15" s="20" t="str">
        <f t="shared" si="3"/>
        <v xml:space="preserve"> if abs(Gini) &lt;= 0.3 then RAG status = RED else if abs(Gini) &lt;= 0.4 then RAG status = AMBER else RAG status = GREEN</v>
      </c>
    </row>
    <row r="16" spans="1:6" x14ac:dyDescent="0.35">
      <c r="A16" s="17" t="s">
        <v>91</v>
      </c>
      <c r="B16" s="18">
        <v>0.05</v>
      </c>
      <c r="C16" s="18">
        <v>0.1</v>
      </c>
      <c r="D16" s="19" t="s">
        <v>86</v>
      </c>
      <c r="E16" s="18" t="str">
        <f t="shared" si="2"/>
        <v>&gt;</v>
      </c>
      <c r="F16" s="20" t="str">
        <f t="shared" si="3"/>
        <v xml:space="preserve"> if abs(% Gini Change) &gt;= 0.1 then RAG status = RED else if abs(% Gini Change) &gt;= 0.05 then RAG status = AMBER else RAG status = GREEN</v>
      </c>
    </row>
    <row r="17" spans="1:6" x14ac:dyDescent="0.35">
      <c r="A17" s="17" t="s">
        <v>24</v>
      </c>
      <c r="B17" s="18">
        <v>0.25</v>
      </c>
      <c r="C17" s="18">
        <v>0.2</v>
      </c>
      <c r="D17" s="19" t="s">
        <v>82</v>
      </c>
      <c r="E17" s="18" t="str">
        <f t="shared" si="2"/>
        <v>&lt;</v>
      </c>
      <c r="F17" s="20" t="str">
        <f t="shared" si="3"/>
        <v xml:space="preserve"> if abs(Pietra Index) &lt;= 0.2 then RAG status = RED else if abs(Pietra Index) &lt;= 0.25 then RAG status = AMBER else RAG status = GREEN</v>
      </c>
    </row>
    <row r="18" spans="1:6" x14ac:dyDescent="0.35">
      <c r="A18" s="17" t="s">
        <v>92</v>
      </c>
      <c r="B18" s="18">
        <v>0.05</v>
      </c>
      <c r="C18" s="18">
        <v>0.1</v>
      </c>
      <c r="D18" s="19" t="s">
        <v>86</v>
      </c>
      <c r="E18" s="18" t="str">
        <f t="shared" si="2"/>
        <v>&gt;</v>
      </c>
      <c r="F18" s="20" t="str">
        <f t="shared" si="3"/>
        <v xml:space="preserve"> if abs(% Pietra Index Change) &gt;= 0.1 then RAG status = RED else if abs(% Pietra Index Change) &gt;= 0.05 then RAG status = AMBER else RAG status = GREEN</v>
      </c>
    </row>
    <row r="19" spans="1:6" x14ac:dyDescent="0.35">
      <c r="A19" s="17" t="s">
        <v>20</v>
      </c>
      <c r="B19" s="18">
        <v>0.2</v>
      </c>
      <c r="C19" s="18">
        <v>0.25</v>
      </c>
      <c r="D19" s="19" t="s">
        <v>82</v>
      </c>
      <c r="E19" s="18" t="str">
        <f t="shared" si="2"/>
        <v>&gt;</v>
      </c>
      <c r="F19" s="20" t="str">
        <f t="shared" si="3"/>
        <v xml:space="preserve"> if abs(ROB (Rank Order Break)) &gt;= 0.25 then RAG status = RED else if abs(ROB (Rank Order Break)) &gt;= 0.2 then RAG status = AMBER else RAG status = GREEN</v>
      </c>
    </row>
    <row r="20" spans="1:6" x14ac:dyDescent="0.35">
      <c r="A20" s="17" t="s">
        <v>93</v>
      </c>
      <c r="B20" s="18">
        <v>0.2</v>
      </c>
      <c r="C20" s="18">
        <v>0.15</v>
      </c>
      <c r="D20" s="19" t="s">
        <v>82</v>
      </c>
      <c r="E20" s="18" t="str">
        <f t="shared" si="2"/>
        <v>&lt;</v>
      </c>
      <c r="F20" s="20" t="str">
        <f t="shared" si="3"/>
        <v xml:space="preserve"> if abs(AUPRC (Area Under Precision-Recall Curve)) &lt;= 0.15 then RAG status = RED else if abs(AUPRC (Area Under Precision-Recall Curve)) &lt;= 0.2 then RAG status = AMBER else RAG status = GREEN</v>
      </c>
    </row>
    <row r="21" spans="1:6" x14ac:dyDescent="0.35">
      <c r="A21" s="17" t="s">
        <v>94</v>
      </c>
      <c r="B21" s="18">
        <v>0.1</v>
      </c>
      <c r="C21" s="18">
        <v>0.2</v>
      </c>
      <c r="D21" s="19" t="s">
        <v>86</v>
      </c>
      <c r="E21" s="18" t="str">
        <f t="shared" si="2"/>
        <v>&gt;</v>
      </c>
      <c r="F21" s="20" t="str">
        <f t="shared" si="3"/>
        <v xml:space="preserve"> if abs(% AUPRC Change) &gt;= 0.2 then RAG status = RED else if abs(% AUPRC Change) &gt;= 0.1 then RAG status = AMBER else RAG status = GREEN</v>
      </c>
    </row>
    <row r="22" spans="1:6" x14ac:dyDescent="0.35">
      <c r="A22" s="17" t="s">
        <v>95</v>
      </c>
      <c r="B22" s="18">
        <v>0.5</v>
      </c>
      <c r="C22" s="18">
        <v>0.6</v>
      </c>
      <c r="D22" s="19" t="s">
        <v>82</v>
      </c>
      <c r="E22" s="18" t="str">
        <f t="shared" si="2"/>
        <v>&gt;</v>
      </c>
      <c r="F22" s="20" t="str">
        <f t="shared" si="3"/>
        <v xml:space="preserve"> if abs(Log-Loss) &gt;= 0.6 then RAG status = RED else if abs(Log-Loss) &gt;= 0.5 then RAG status = AMBER else RAG status = GREEN</v>
      </c>
    </row>
    <row r="23" spans="1:6" x14ac:dyDescent="0.35">
      <c r="A23" s="17" t="s">
        <v>96</v>
      </c>
      <c r="B23" s="18">
        <v>0.05</v>
      </c>
      <c r="C23" s="18">
        <v>0.1</v>
      </c>
      <c r="D23" s="19" t="s">
        <v>86</v>
      </c>
      <c r="E23" s="18" t="str">
        <f t="shared" si="2"/>
        <v>&gt;</v>
      </c>
      <c r="F23" s="20" t="str">
        <f t="shared" si="3"/>
        <v xml:space="preserve"> if abs(% Log-Loss Change) &gt;= 0.1 then RAG status = RED else if abs(% Log-Loss Change) &gt;= 0.05 then RAG status = AMBER else RAG status = GREEN</v>
      </c>
    </row>
    <row r="24" spans="1:6" x14ac:dyDescent="0.35">
      <c r="A24" s="17" t="s">
        <v>22</v>
      </c>
      <c r="B24" s="18">
        <v>0.25</v>
      </c>
      <c r="C24" s="18">
        <v>0.3</v>
      </c>
      <c r="D24" s="19" t="s">
        <v>82</v>
      </c>
      <c r="E24" s="18" t="str">
        <f t="shared" si="2"/>
        <v>&gt;</v>
      </c>
      <c r="F24" s="20" t="str">
        <f t="shared" si="3"/>
        <v xml:space="preserve"> if abs(Brier Score) &gt;= 0.3 then RAG status = RED else if abs(Brier Score) &gt;= 0.25 then RAG status = AMBER else RAG status = GREEN</v>
      </c>
    </row>
    <row r="25" spans="1:6" x14ac:dyDescent="0.35">
      <c r="A25" s="17" t="s">
        <v>97</v>
      </c>
      <c r="B25" s="18">
        <v>0.1</v>
      </c>
      <c r="C25" s="18">
        <v>0.2</v>
      </c>
      <c r="D25" s="19" t="s">
        <v>86</v>
      </c>
      <c r="E25" s="18" t="str">
        <f t="shared" si="2"/>
        <v>&gt;</v>
      </c>
      <c r="F25" s="20" t="str">
        <f t="shared" si="3"/>
        <v xml:space="preserve"> if abs(% Brier Score Change) &gt;= 0.2 then RAG status = RED else if abs(% Brier Score Change) &gt;= 0.1 then RAG status = AMBER else RAG status = GREEN</v>
      </c>
    </row>
    <row r="26" spans="1:6" x14ac:dyDescent="0.35">
      <c r="A26" s="17" t="s">
        <v>28</v>
      </c>
      <c r="B26" s="18">
        <v>0.7</v>
      </c>
      <c r="C26" s="18">
        <v>0.65</v>
      </c>
      <c r="D26" s="19" t="s">
        <v>82</v>
      </c>
      <c r="E26" s="18" t="str">
        <f t="shared" ref="E26:E37" si="4">IF(C26&gt;B26,"&gt;","&lt;")</f>
        <v>&lt;</v>
      </c>
      <c r="F26" s="20" t="str">
        <f t="shared" ref="F26:F37" si="5">" if abs("&amp;A26&amp;") "&amp;E26&amp;"= "&amp;C26&amp; " then RAG status = RED else if abs("&amp;A26&amp;") "&amp;E26&amp;"= "&amp;B26&amp;" then RAG status = AMBER else RAG status = GREEN"</f>
        <v xml:space="preserve"> if abs(Accuracy) &lt;= 0.65 then RAG status = RED else if abs(Accuracy) &lt;= 0.7 then RAG status = AMBER else RAG status = GREEN</v>
      </c>
    </row>
    <row r="27" spans="1:6" x14ac:dyDescent="0.35">
      <c r="A27" s="17" t="s">
        <v>98</v>
      </c>
      <c r="B27" s="18">
        <v>0.05</v>
      </c>
      <c r="C27" s="18">
        <v>0.1</v>
      </c>
      <c r="D27" s="19" t="s">
        <v>86</v>
      </c>
      <c r="E27" s="18" t="str">
        <f t="shared" si="4"/>
        <v>&gt;</v>
      </c>
      <c r="F27" s="20" t="str">
        <f t="shared" si="5"/>
        <v xml:space="preserve"> if abs(% Accuracy Change) &gt;= 0.1 then RAG status = RED else if abs(% Accuracy Change) &gt;= 0.05 then RAG status = AMBER else RAG status = GREEN</v>
      </c>
    </row>
    <row r="28" spans="1:6" x14ac:dyDescent="0.35">
      <c r="A28" s="17" t="s">
        <v>99</v>
      </c>
      <c r="B28" s="18">
        <v>0.35</v>
      </c>
      <c r="C28" s="18">
        <v>0.25</v>
      </c>
      <c r="D28" s="19" t="s">
        <v>82</v>
      </c>
      <c r="E28" s="18" t="str">
        <f t="shared" si="4"/>
        <v>&lt;</v>
      </c>
      <c r="F28" s="20" t="str">
        <f t="shared" si="5"/>
        <v xml:space="preserve"> if abs(Precision) &lt;= 0.25 then RAG status = RED else if abs(Precision) &lt;= 0.35 then RAG status = AMBER else RAG status = GREEN</v>
      </c>
    </row>
    <row r="29" spans="1:6" x14ac:dyDescent="0.35">
      <c r="A29" s="17" t="s">
        <v>100</v>
      </c>
      <c r="B29" s="18">
        <v>0.1</v>
      </c>
      <c r="C29" s="18">
        <v>0.2</v>
      </c>
      <c r="D29" s="19" t="s">
        <v>86</v>
      </c>
      <c r="E29" s="18" t="str">
        <f t="shared" si="4"/>
        <v>&gt;</v>
      </c>
      <c r="F29" s="20" t="str">
        <f t="shared" si="5"/>
        <v xml:space="preserve"> if abs(% Precision Change) &gt;= 0.2 then RAG status = RED else if abs(% Precision Change) &gt;= 0.1 then RAG status = AMBER else RAG status = GREEN</v>
      </c>
    </row>
    <row r="30" spans="1:6" x14ac:dyDescent="0.35">
      <c r="A30" s="17" t="s">
        <v>30</v>
      </c>
      <c r="B30" s="18">
        <v>0.45</v>
      </c>
      <c r="C30" s="18">
        <v>0.35</v>
      </c>
      <c r="D30" s="19" t="s">
        <v>82</v>
      </c>
      <c r="E30" s="18" t="str">
        <f t="shared" si="4"/>
        <v>&lt;</v>
      </c>
      <c r="F30" s="20" t="str">
        <f t="shared" si="5"/>
        <v xml:space="preserve"> if abs(Recall) &lt;= 0.35 then RAG status = RED else if abs(Recall) &lt;= 0.45 then RAG status = AMBER else RAG status = GREEN</v>
      </c>
    </row>
    <row r="31" spans="1:6" x14ac:dyDescent="0.35">
      <c r="A31" s="17" t="s">
        <v>101</v>
      </c>
      <c r="B31" s="18">
        <v>0.1</v>
      </c>
      <c r="C31" s="18">
        <v>0.2</v>
      </c>
      <c r="D31" s="19" t="s">
        <v>86</v>
      </c>
      <c r="E31" s="18" t="str">
        <f t="shared" si="4"/>
        <v>&gt;</v>
      </c>
      <c r="F31" s="20" t="str">
        <f t="shared" si="5"/>
        <v xml:space="preserve"> if abs(% Recall Change) &gt;= 0.2 then RAG status = RED else if abs(% Recall Change) &gt;= 0.1 then RAG status = AMBER else RAG status = GREEN</v>
      </c>
    </row>
    <row r="32" spans="1:6" x14ac:dyDescent="0.35">
      <c r="A32" s="17" t="s">
        <v>102</v>
      </c>
      <c r="B32" s="18">
        <v>0.4</v>
      </c>
      <c r="C32" s="18">
        <v>0.5</v>
      </c>
      <c r="D32" s="19" t="s">
        <v>82</v>
      </c>
      <c r="E32" s="18" t="str">
        <f t="shared" si="4"/>
        <v>&gt;</v>
      </c>
      <c r="F32" s="20" t="str">
        <f t="shared" si="5"/>
        <v xml:space="preserve"> if abs(Type-1 Error) &gt;= 0.5 then RAG status = RED else if abs(Type-1 Error) &gt;= 0.4 then RAG status = AMBER else RAG status = GREEN</v>
      </c>
    </row>
    <row r="33" spans="1:6" x14ac:dyDescent="0.35">
      <c r="A33" s="17" t="s">
        <v>103</v>
      </c>
      <c r="B33" s="18">
        <v>0.1</v>
      </c>
      <c r="C33" s="18">
        <v>0.2</v>
      </c>
      <c r="D33" s="19" t="s">
        <v>86</v>
      </c>
      <c r="E33" s="18" t="str">
        <f t="shared" si="4"/>
        <v>&gt;</v>
      </c>
      <c r="F33" s="20" t="str">
        <f t="shared" si="5"/>
        <v xml:space="preserve"> if abs(% Type-1 Error Change) &gt;= 0.2 then RAG status = RED else if abs(% Type-1 Error Change) &gt;= 0.1 then RAG status = AMBER else RAG status = GREEN</v>
      </c>
    </row>
    <row r="34" spans="1:6" x14ac:dyDescent="0.35">
      <c r="A34" s="17" t="s">
        <v>104</v>
      </c>
      <c r="B34" s="18">
        <v>0.4</v>
      </c>
      <c r="C34" s="18">
        <v>0.5</v>
      </c>
      <c r="D34" s="19" t="s">
        <v>82</v>
      </c>
      <c r="E34" s="18" t="str">
        <f t="shared" si="4"/>
        <v>&gt;</v>
      </c>
      <c r="F34" s="20" t="str">
        <f t="shared" si="5"/>
        <v xml:space="preserve"> if abs(Type-2 Error) &gt;= 0.5 then RAG status = RED else if abs(Type-2 Error) &gt;= 0.4 then RAG status = AMBER else RAG status = GREEN</v>
      </c>
    </row>
    <row r="35" spans="1:6" x14ac:dyDescent="0.35">
      <c r="A35" s="17" t="s">
        <v>105</v>
      </c>
      <c r="B35" s="18">
        <v>0.1</v>
      </c>
      <c r="C35" s="18">
        <v>0.2</v>
      </c>
      <c r="D35" s="19" t="s">
        <v>86</v>
      </c>
      <c r="E35" s="18" t="str">
        <f t="shared" si="4"/>
        <v>&gt;</v>
      </c>
      <c r="F35" s="20" t="str">
        <f t="shared" si="5"/>
        <v xml:space="preserve"> if abs(% Type-2 Error Change) &gt;= 0.2 then RAG status = RED else if abs(% Type-2 Error Change) &gt;= 0.1 then RAG status = AMBER else RAG status = GREEN</v>
      </c>
    </row>
    <row r="36" spans="1:6" x14ac:dyDescent="0.35">
      <c r="A36" s="17" t="s">
        <v>31</v>
      </c>
      <c r="B36" s="18">
        <v>0.35</v>
      </c>
      <c r="C36" s="18">
        <v>0.25</v>
      </c>
      <c r="D36" s="19" t="s">
        <v>82</v>
      </c>
      <c r="E36" s="18" t="str">
        <f t="shared" si="4"/>
        <v>&lt;</v>
      </c>
      <c r="F36" s="20" t="str">
        <f t="shared" si="5"/>
        <v xml:space="preserve"> if abs(F1 Score) &lt;= 0.25 then RAG status = RED else if abs(F1 Score) &lt;= 0.35 then RAG status = AMBER else RAG status = GREEN</v>
      </c>
    </row>
    <row r="37" spans="1:6" x14ac:dyDescent="0.35">
      <c r="A37" s="17" t="s">
        <v>106</v>
      </c>
      <c r="B37" s="18">
        <v>0.1</v>
      </c>
      <c r="C37" s="18">
        <v>0.2</v>
      </c>
      <c r="D37" s="19" t="s">
        <v>86</v>
      </c>
      <c r="E37" s="18" t="str">
        <f t="shared" si="4"/>
        <v>&gt;</v>
      </c>
      <c r="F37" s="20" t="str">
        <f t="shared" si="5"/>
        <v xml:space="preserve"> if abs(% F1 Score Change) &gt;= 0.2 then RAG status = RED else if abs(% F1 Score Change) &gt;= 0.1 then RAG status = AMBER else RAG status = GREEN</v>
      </c>
    </row>
    <row r="39" spans="1:6" ht="29" x14ac:dyDescent="0.35">
      <c r="A39" s="13" t="s">
        <v>109</v>
      </c>
      <c r="B39" s="14" t="s">
        <v>77</v>
      </c>
      <c r="C39" s="15" t="s">
        <v>78</v>
      </c>
      <c r="D39" s="15" t="s">
        <v>79</v>
      </c>
      <c r="E39" s="16" t="s">
        <v>80</v>
      </c>
      <c r="F39" s="16" t="s">
        <v>81</v>
      </c>
    </row>
    <row r="40" spans="1:6" x14ac:dyDescent="0.35">
      <c r="A40" s="17" t="s">
        <v>107</v>
      </c>
      <c r="B40" s="18">
        <v>0.1</v>
      </c>
      <c r="C40" s="18">
        <v>0.2</v>
      </c>
      <c r="D40" s="19" t="s">
        <v>82</v>
      </c>
      <c r="E40" s="18" t="str">
        <f t="shared" ref="E40" si="6">IF(C40&gt;B40,"&gt;","&lt;")</f>
        <v>&gt;</v>
      </c>
      <c r="F40" s="20" t="str">
        <f t="shared" ref="F40" si="7">" if abs("&amp;A40&amp;") "&amp;E40&amp;"= "&amp;C40&amp; " then RAG status = RED else if abs("&amp;A40&amp;") "&amp;E40&amp;"= "&amp;B40&amp;" then RAG status = AMBER else RAG status = GREEN"</f>
        <v xml:space="preserve"> if abs(%IV Change) &gt;= 0.2 then RAG status = RED else if abs(%IV Change) &gt;= 0.1 then RAG status = AMBER else RAG status = GREEN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C82B-373B-486C-8D64-032DBDB1588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86F7-0518-4BA7-9A9D-7FAEC8B2439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B6F7-73E6-41F5-AF60-7AD4B12D2A7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Model Family</vt:lpstr>
      <vt:lpstr>2. KPI Pack</vt:lpstr>
      <vt:lpstr>Sample thresholds</vt:lpstr>
      <vt:lpstr>2. Model Inventory</vt:lpstr>
      <vt:lpstr>4. Trigger Hit Report</vt:lpstr>
      <vt:lpstr>5. Model Governance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Mondal</dc:creator>
  <cp:lastModifiedBy>Deepanshu Garg</cp:lastModifiedBy>
  <dcterms:created xsi:type="dcterms:W3CDTF">2026-03-25T06:01:54Z</dcterms:created>
  <dcterms:modified xsi:type="dcterms:W3CDTF">2026-05-08T12:07:33Z</dcterms:modified>
</cp:coreProperties>
</file>